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Capital" sheetId="2" r:id="rId6"/>
  </sheets>
  <definedNames/>
  <calcPr/>
</workbook>
</file>

<file path=xl/sharedStrings.xml><?xml version="1.0" encoding="utf-8"?>
<sst xmlns="http://schemas.openxmlformats.org/spreadsheetml/2006/main" count="440" uniqueCount="83">
  <si>
    <t>Fecha</t>
  </si>
  <si>
    <t>Activo</t>
  </si>
  <si>
    <t>Símbolo</t>
  </si>
  <si>
    <t>Tipo de Operación</t>
  </si>
  <si>
    <t>Tipo de Activo</t>
  </si>
  <si>
    <t>Cantidad</t>
  </si>
  <si>
    <t>Plataforma</t>
  </si>
  <si>
    <t>Precio en USD</t>
  </si>
  <si>
    <t>Moneda de cambio</t>
  </si>
  <si>
    <t>Inversión en dólares</t>
  </si>
  <si>
    <t>Valor de mercado ayer</t>
  </si>
  <si>
    <t>Ripple</t>
  </si>
  <si>
    <t>XRP</t>
  </si>
  <si>
    <t>Tenencia</t>
  </si>
  <si>
    <t>Criptomoneda</t>
  </si>
  <si>
    <t>Binance</t>
  </si>
  <si>
    <t>Dólares</t>
  </si>
  <si>
    <t>Bitcoin</t>
  </si>
  <si>
    <t>BTC</t>
  </si>
  <si>
    <t>PAX Gold</t>
  </si>
  <si>
    <t>PAXG</t>
  </si>
  <si>
    <t>Compra</t>
  </si>
  <si>
    <t>Buenbit</t>
  </si>
  <si>
    <t>Pesos</t>
  </si>
  <si>
    <t>DAI</t>
  </si>
  <si>
    <t>S&amp;P500</t>
  </si>
  <si>
    <t>SPY</t>
  </si>
  <si>
    <t>ETF</t>
  </si>
  <si>
    <t>Dividendos</t>
  </si>
  <si>
    <t>Alibaba</t>
  </si>
  <si>
    <t>BABA</t>
  </si>
  <si>
    <t>Acción</t>
  </si>
  <si>
    <t>USDC</t>
  </si>
  <si>
    <t>iShares China</t>
  </si>
  <si>
    <t>MCHI</t>
  </si>
  <si>
    <t>JD.com inc.</t>
  </si>
  <si>
    <t>JD</t>
  </si>
  <si>
    <t>Baidu</t>
  </si>
  <si>
    <t>BIDU</t>
  </si>
  <si>
    <t>Venta</t>
  </si>
  <si>
    <t>Mercado Libre</t>
  </si>
  <si>
    <t>MELI</t>
  </si>
  <si>
    <t>USDT</t>
  </si>
  <si>
    <t>Loma Negra</t>
  </si>
  <si>
    <t>LOMA</t>
  </si>
  <si>
    <t>Palantir</t>
  </si>
  <si>
    <t>PLTR</t>
  </si>
  <si>
    <t>Apple</t>
  </si>
  <si>
    <t>AAPL</t>
  </si>
  <si>
    <t>Banco Galicia</t>
  </si>
  <si>
    <t>GGAL</t>
  </si>
  <si>
    <t>ETH</t>
  </si>
  <si>
    <t>Etherium</t>
  </si>
  <si>
    <t>Pax Gold</t>
  </si>
  <si>
    <t>Banco Credicorp</t>
  </si>
  <si>
    <t>BAP</t>
  </si>
  <si>
    <t>AMD</t>
  </si>
  <si>
    <t>YPF</t>
  </si>
  <si>
    <t>Amazon</t>
  </si>
  <si>
    <t>AMZN</t>
  </si>
  <si>
    <r>
      <rPr>
        <color rgb="FF1155CC"/>
        <u/>
      </rPr>
      <t>JD.com</t>
    </r>
    <r>
      <rPr/>
      <t xml:space="preserve"> inc.</t>
    </r>
  </si>
  <si>
    <t>Global X Robotics and AI</t>
  </si>
  <si>
    <t>BOTZ</t>
  </si>
  <si>
    <t>Microsoft</t>
  </si>
  <si>
    <t>MSFT</t>
  </si>
  <si>
    <t>Vanguard Index Appreciation</t>
  </si>
  <si>
    <t>VIG</t>
  </si>
  <si>
    <t>IBM</t>
  </si>
  <si>
    <t>SPDR Gold Trust</t>
  </si>
  <si>
    <t>GLD</t>
  </si>
  <si>
    <t>Silver Trust iShares</t>
  </si>
  <si>
    <t>SLV</t>
  </si>
  <si>
    <t>D-Wave Quantum</t>
  </si>
  <si>
    <t>QBTS</t>
  </si>
  <si>
    <t>Intereses</t>
  </si>
  <si>
    <t>Alphabet</t>
  </si>
  <si>
    <t>GOOGL</t>
  </si>
  <si>
    <t>Cash:</t>
  </si>
  <si>
    <t>ARS</t>
  </si>
  <si>
    <t>USD</t>
  </si>
  <si>
    <r>
      <rPr>
        <rFont val="Arial"/>
        <b/>
        <color theme="1"/>
      </rPr>
      <t>Pre-existent assets:</t>
    </r>
    <r>
      <rPr>
        <rFont val="Arial"/>
        <color theme="1"/>
      </rPr>
      <t xml:space="preserve"> (not tracked in transactions table)</t>
    </r>
  </si>
  <si>
    <t>NVDA</t>
  </si>
  <si>
    <t>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</si>
</sst>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"/>
    </font>
    <font>
      <u/>
      <color rgb="FF0000FF"/>
      <name val="Roboto"/>
    </font>
    <font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top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2" displayName="Activity" name="Activity" id="1">
  <tableColumns count="11">
    <tableColumn name="Fecha" id="1"/>
    <tableColumn name="Activo" id="2"/>
    <tableColumn name="Símbolo" id="3"/>
    <tableColumn name="Tipo de Operación" id="4"/>
    <tableColumn name="Tipo de Activo" id="5"/>
    <tableColumn name="Cantidad" id="6"/>
    <tableColumn name="Plataforma" id="7"/>
    <tableColumn name="Precio en USD" id="8"/>
    <tableColumn name="Moneda de cambio" id="9"/>
    <tableColumn name="Inversión en dólares" id="10"/>
    <tableColumn name="Valor de mercado ayer" id="11"/>
  </tableColumns>
  <tableStyleInfo name="Transac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d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4" max="4" width="19.0"/>
    <col customWidth="1" min="7" max="7" width="13.75"/>
    <col customWidth="1" min="8" max="8" width="15.75"/>
    <col customWidth="1" min="9" max="9" width="19.75"/>
    <col customWidth="1" min="10" max="10" width="20.38"/>
    <col customWidth="1" min="11" max="11" width="23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22.5" customHeight="1">
      <c r="A2" s="4">
        <v>45657.0</v>
      </c>
      <c r="B2" s="5" t="s">
        <v>11</v>
      </c>
      <c r="C2" s="5" t="s">
        <v>12</v>
      </c>
      <c r="D2" s="5" t="s">
        <v>13</v>
      </c>
      <c r="E2" s="6" t="s">
        <v>14</v>
      </c>
      <c r="F2" s="6">
        <v>4071.2523</v>
      </c>
      <c r="G2" s="5" t="s">
        <v>15</v>
      </c>
      <c r="H2" s="6">
        <f>J2/F2</f>
        <v>0.6295851525</v>
      </c>
      <c r="I2" s="5" t="s">
        <v>16</v>
      </c>
      <c r="J2" s="5">
        <v>2563.2</v>
      </c>
    </row>
    <row r="3" ht="22.5" customHeight="1">
      <c r="A3" s="4">
        <v>45657.0</v>
      </c>
      <c r="B3" s="5" t="s">
        <v>17</v>
      </c>
      <c r="C3" s="5" t="s">
        <v>18</v>
      </c>
      <c r="D3" s="5" t="s">
        <v>13</v>
      </c>
      <c r="E3" s="6" t="s">
        <v>14</v>
      </c>
      <c r="F3" s="6">
        <v>0.0349</v>
      </c>
      <c r="G3" s="5" t="s">
        <v>15</v>
      </c>
      <c r="H3" s="6">
        <v>64807.56</v>
      </c>
      <c r="I3" s="5" t="s">
        <v>16</v>
      </c>
      <c r="J3" s="5">
        <v>2205.32</v>
      </c>
    </row>
    <row r="4" ht="22.5" customHeight="1">
      <c r="A4" s="4">
        <v>45658.0</v>
      </c>
      <c r="B4" s="5" t="s">
        <v>19</v>
      </c>
      <c r="C4" s="5" t="s">
        <v>20</v>
      </c>
      <c r="D4" s="5" t="s">
        <v>21</v>
      </c>
      <c r="E4" s="6" t="s">
        <v>14</v>
      </c>
      <c r="F4" s="6">
        <v>0.304792</v>
      </c>
      <c r="G4" s="5" t="s">
        <v>22</v>
      </c>
      <c r="H4" s="6">
        <v>2652.964</v>
      </c>
      <c r="I4" s="5" t="s">
        <v>23</v>
      </c>
      <c r="J4" s="5">
        <f>1000000/1236.7</f>
        <v>808.6035417</v>
      </c>
    </row>
    <row r="5" ht="22.5" customHeight="1">
      <c r="A5" s="4">
        <v>45680.0</v>
      </c>
      <c r="B5" s="5" t="s">
        <v>19</v>
      </c>
      <c r="C5" s="5" t="s">
        <v>20</v>
      </c>
      <c r="D5" s="5" t="s">
        <v>21</v>
      </c>
      <c r="E5" s="6" t="s">
        <v>14</v>
      </c>
      <c r="F5" s="5">
        <v>0.216921</v>
      </c>
      <c r="G5" s="5" t="s">
        <v>22</v>
      </c>
      <c r="H5" s="5">
        <v>2759.0</v>
      </c>
      <c r="I5" s="5" t="s">
        <v>24</v>
      </c>
      <c r="J5" s="5">
        <v>600.0</v>
      </c>
    </row>
    <row r="6" ht="22.5" customHeight="1">
      <c r="A6" s="4">
        <v>45736.0</v>
      </c>
      <c r="B6" s="5" t="s">
        <v>25</v>
      </c>
      <c r="C6" s="5" t="s">
        <v>26</v>
      </c>
      <c r="D6" s="5" t="s">
        <v>21</v>
      </c>
      <c r="E6" s="5" t="s">
        <v>27</v>
      </c>
      <c r="F6" s="5">
        <v>2.00211305</v>
      </c>
      <c r="G6" s="5" t="s">
        <v>22</v>
      </c>
      <c r="H6" s="6">
        <v>588.24</v>
      </c>
      <c r="I6" s="5" t="s">
        <v>16</v>
      </c>
      <c r="J6" s="7">
        <f>F6*H6</f>
        <v>1177.722981</v>
      </c>
      <c r="K6" s="7">
        <f>IFERROR(__xludf.DUMMYFUNCTION("GOOGLEFINANCE(C6)"),739.17)</f>
        <v>739.17</v>
      </c>
    </row>
    <row r="7" ht="22.5" customHeight="1">
      <c r="A7" s="4">
        <v>45753.0</v>
      </c>
      <c r="B7" s="5" t="s">
        <v>19</v>
      </c>
      <c r="C7" s="5" t="s">
        <v>20</v>
      </c>
      <c r="D7" s="5" t="s">
        <v>21</v>
      </c>
      <c r="E7" s="6" t="s">
        <v>14</v>
      </c>
      <c r="F7" s="6">
        <v>0.32124091</v>
      </c>
      <c r="G7" s="5" t="s">
        <v>15</v>
      </c>
      <c r="H7" s="6">
        <v>3075.74009996155</v>
      </c>
      <c r="I7" s="5" t="s">
        <v>23</v>
      </c>
      <c r="J7" s="5">
        <f>1350000/1366.33</f>
        <v>988.0482753</v>
      </c>
    </row>
    <row r="8" ht="22.5" customHeight="1">
      <c r="A8" s="4">
        <v>45796.0</v>
      </c>
      <c r="B8" s="5" t="s">
        <v>25</v>
      </c>
      <c r="C8" s="5" t="s">
        <v>26</v>
      </c>
      <c r="D8" s="5" t="s">
        <v>28</v>
      </c>
      <c r="E8" s="5" t="s">
        <v>27</v>
      </c>
      <c r="F8" s="5">
        <v>0.004</v>
      </c>
      <c r="G8" s="5" t="s">
        <v>22</v>
      </c>
      <c r="K8" s="7">
        <f>IFERROR(__xludf.DUMMYFUNCTION("GOOGLEFINANCE(C8)"),739.17)</f>
        <v>739.17</v>
      </c>
    </row>
    <row r="9" ht="22.5" customHeight="1">
      <c r="A9" s="4">
        <v>45796.0</v>
      </c>
      <c r="B9" s="5" t="s">
        <v>29</v>
      </c>
      <c r="C9" s="5" t="s">
        <v>30</v>
      </c>
      <c r="D9" s="5" t="s">
        <v>21</v>
      </c>
      <c r="E9" s="5" t="s">
        <v>31</v>
      </c>
      <c r="F9" s="5">
        <v>1.02</v>
      </c>
      <c r="G9" s="5" t="s">
        <v>22</v>
      </c>
      <c r="H9" s="5">
        <v>122.42</v>
      </c>
      <c r="I9" s="5" t="s">
        <v>32</v>
      </c>
      <c r="J9" s="7">
        <f t="shared" ref="J9:J10" si="1">F9*H9</f>
        <v>124.8684</v>
      </c>
      <c r="K9" s="7">
        <f>IFERROR(__xludf.DUMMYFUNCTION("GOOGLEFINANCE(C9)"),132.59)</f>
        <v>132.59</v>
      </c>
    </row>
    <row r="10" ht="22.5" customHeight="1">
      <c r="A10" s="4">
        <v>45796.0</v>
      </c>
      <c r="B10" s="5" t="s">
        <v>33</v>
      </c>
      <c r="C10" s="5" t="s">
        <v>34</v>
      </c>
      <c r="D10" s="5" t="s">
        <v>21</v>
      </c>
      <c r="E10" s="5" t="s">
        <v>27</v>
      </c>
      <c r="F10" s="5">
        <v>2.28</v>
      </c>
      <c r="G10" s="5" t="s">
        <v>22</v>
      </c>
      <c r="H10" s="5">
        <v>54.63</v>
      </c>
      <c r="I10" s="5" t="s">
        <v>32</v>
      </c>
      <c r="J10" s="7">
        <f t="shared" si="1"/>
        <v>124.5564</v>
      </c>
      <c r="K10" s="7">
        <f>IFERROR(__xludf.DUMMYFUNCTION("GOOGLEFINANCE(C10)"),56.64)</f>
        <v>56.64</v>
      </c>
    </row>
    <row r="11" ht="22.5" customHeight="1">
      <c r="A11" s="4">
        <v>45796.0</v>
      </c>
      <c r="B11" s="5" t="s">
        <v>35</v>
      </c>
      <c r="C11" s="5" t="s">
        <v>36</v>
      </c>
      <c r="D11" s="5" t="s">
        <v>21</v>
      </c>
      <c r="E11" s="5" t="s">
        <v>31</v>
      </c>
      <c r="F11" s="5">
        <v>3.73</v>
      </c>
      <c r="G11" s="5" t="s">
        <v>22</v>
      </c>
      <c r="H11" s="5">
        <v>33.48</v>
      </c>
      <c r="I11" s="5" t="s">
        <v>32</v>
      </c>
      <c r="J11" s="7">
        <f>H11*F11</f>
        <v>124.8804</v>
      </c>
      <c r="K11" s="7">
        <f>IFERROR(__xludf.DUMMYFUNCTION("GOOGLEFINANCE(C11)"),32.01)</f>
        <v>32.01</v>
      </c>
    </row>
    <row r="12" ht="22.5" customHeight="1">
      <c r="A12" s="4">
        <v>45796.0</v>
      </c>
      <c r="B12" s="5" t="s">
        <v>37</v>
      </c>
      <c r="C12" s="5" t="s">
        <v>38</v>
      </c>
      <c r="D12" s="5" t="s">
        <v>21</v>
      </c>
      <c r="E12" s="5" t="s">
        <v>31</v>
      </c>
      <c r="F12" s="5">
        <v>1.3994</v>
      </c>
      <c r="G12" s="5" t="s">
        <v>22</v>
      </c>
      <c r="H12" s="8">
        <f>J12/F12</f>
        <v>89.323996</v>
      </c>
      <c r="I12" s="5" t="s">
        <v>32</v>
      </c>
      <c r="J12" s="5">
        <v>125.0</v>
      </c>
      <c r="K12" s="7">
        <f>IFERROR(__xludf.DUMMYFUNCTION("GOOGLEFINANCE(C12)"),135.33)</f>
        <v>135.33</v>
      </c>
    </row>
    <row r="13" ht="22.5" customHeight="1">
      <c r="A13" s="4">
        <v>45828.0</v>
      </c>
      <c r="B13" s="5" t="s">
        <v>33</v>
      </c>
      <c r="C13" s="5" t="s">
        <v>34</v>
      </c>
      <c r="D13" s="5" t="s">
        <v>28</v>
      </c>
      <c r="E13" s="5" t="s">
        <v>27</v>
      </c>
      <c r="F13" s="5">
        <v>0.0158</v>
      </c>
      <c r="G13" s="5" t="s">
        <v>22</v>
      </c>
      <c r="H13" s="5"/>
      <c r="I13" s="5"/>
      <c r="K13" s="7">
        <f>IFERROR(__xludf.DUMMYFUNCTION("GOOGLEFINANCE(C13)"),56.64)</f>
        <v>56.64</v>
      </c>
    </row>
    <row r="14" ht="22.5" customHeight="1">
      <c r="A14" s="4">
        <v>45865.0</v>
      </c>
      <c r="B14" s="5" t="s">
        <v>17</v>
      </c>
      <c r="C14" s="5" t="s">
        <v>18</v>
      </c>
      <c r="D14" s="5" t="s">
        <v>39</v>
      </c>
      <c r="E14" s="6" t="s">
        <v>14</v>
      </c>
      <c r="F14" s="6">
        <v>-0.00136619</v>
      </c>
      <c r="G14" s="5" t="s">
        <v>22</v>
      </c>
      <c r="H14" s="6">
        <v>117520.0</v>
      </c>
      <c r="I14" s="5" t="s">
        <v>12</v>
      </c>
      <c r="J14" s="7">
        <f>F14*H14</f>
        <v>-160.5546488</v>
      </c>
    </row>
    <row r="15" ht="22.5" customHeight="1">
      <c r="A15" s="4">
        <v>45876.0</v>
      </c>
      <c r="B15" s="5" t="s">
        <v>17</v>
      </c>
      <c r="C15" s="5" t="s">
        <v>18</v>
      </c>
      <c r="D15" s="5" t="s">
        <v>21</v>
      </c>
      <c r="E15" s="6" t="s">
        <v>14</v>
      </c>
      <c r="F15" s="9">
        <v>0.00321074</v>
      </c>
      <c r="G15" s="5" t="s">
        <v>22</v>
      </c>
      <c r="H15" s="6">
        <v>115344.13</v>
      </c>
      <c r="I15" s="5" t="s">
        <v>23</v>
      </c>
      <c r="J15" s="7">
        <f>495145/1337</f>
        <v>370.3403141</v>
      </c>
    </row>
    <row r="16" ht="22.5" customHeight="1">
      <c r="A16" s="4">
        <v>45877.0</v>
      </c>
      <c r="B16" s="5" t="s">
        <v>40</v>
      </c>
      <c r="C16" s="5" t="s">
        <v>41</v>
      </c>
      <c r="D16" s="5" t="s">
        <v>21</v>
      </c>
      <c r="E16" s="6" t="s">
        <v>31</v>
      </c>
      <c r="F16" s="6">
        <v>1.0014</v>
      </c>
      <c r="G16" s="5" t="s">
        <v>22</v>
      </c>
      <c r="H16" s="5">
        <v>2347.48</v>
      </c>
      <c r="I16" s="5" t="s">
        <v>42</v>
      </c>
      <c r="J16" s="7">
        <f t="shared" ref="J16:J20" si="2">H16*F16</f>
        <v>2350.766472</v>
      </c>
      <c r="K16" s="7">
        <f>IFERROR(__xludf.DUMMYFUNCTION("GOOGLEFINANCE(C16)"),1546.81)</f>
        <v>1546.81</v>
      </c>
    </row>
    <row r="17" ht="22.5" customHeight="1">
      <c r="A17" s="4">
        <v>45884.0</v>
      </c>
      <c r="B17" s="5" t="s">
        <v>43</v>
      </c>
      <c r="C17" s="5" t="s">
        <v>44</v>
      </c>
      <c r="D17" s="5" t="s">
        <v>21</v>
      </c>
      <c r="E17" s="6" t="s">
        <v>31</v>
      </c>
      <c r="F17" s="5">
        <v>5.501998</v>
      </c>
      <c r="G17" s="5" t="s">
        <v>22</v>
      </c>
      <c r="H17" s="5">
        <v>10.46</v>
      </c>
      <c r="I17" s="5" t="s">
        <v>42</v>
      </c>
      <c r="J17" s="7">
        <f t="shared" si="2"/>
        <v>57.55089908</v>
      </c>
      <c r="K17" s="7">
        <f>IFERROR(__xludf.DUMMYFUNCTION("GOOGLEFINANCE(C17)"),10.39)</f>
        <v>10.39</v>
      </c>
    </row>
    <row r="18" ht="22.5" customHeight="1">
      <c r="A18" s="4">
        <v>45884.0</v>
      </c>
      <c r="B18" s="5" t="s">
        <v>45</v>
      </c>
      <c r="C18" s="5" t="s">
        <v>46</v>
      </c>
      <c r="D18" s="5" t="s">
        <v>21</v>
      </c>
      <c r="E18" s="6" t="s">
        <v>31</v>
      </c>
      <c r="F18" s="5">
        <v>1.000876</v>
      </c>
      <c r="G18" s="5" t="s">
        <v>22</v>
      </c>
      <c r="H18" s="5">
        <v>177.13</v>
      </c>
      <c r="I18" s="5" t="s">
        <v>42</v>
      </c>
      <c r="J18" s="7">
        <f t="shared" si="2"/>
        <v>177.2851659</v>
      </c>
      <c r="K18" s="7">
        <f>IFERROR(__xludf.DUMMYFUNCTION("GOOGLEFINANCE(C18)"),133.99)</f>
        <v>133.99</v>
      </c>
    </row>
    <row r="19" ht="22.5" customHeight="1">
      <c r="A19" s="4">
        <v>45884.0</v>
      </c>
      <c r="B19" s="5" t="s">
        <v>47</v>
      </c>
      <c r="C19" s="5" t="s">
        <v>48</v>
      </c>
      <c r="D19" s="5" t="s">
        <v>21</v>
      </c>
      <c r="E19" s="6" t="s">
        <v>31</v>
      </c>
      <c r="F19" s="5">
        <v>1.999771</v>
      </c>
      <c r="G19" s="5" t="s">
        <v>22</v>
      </c>
      <c r="H19" s="5">
        <v>231.29</v>
      </c>
      <c r="I19" s="5" t="s">
        <v>42</v>
      </c>
      <c r="J19" s="7">
        <f t="shared" si="2"/>
        <v>462.5270346</v>
      </c>
      <c r="K19" s="7">
        <f>IFERROR(__xludf.DUMMYFUNCTION("GOOGLEFINANCE(C19)"),300.23)</f>
        <v>300.23</v>
      </c>
    </row>
    <row r="20" ht="22.5" customHeight="1">
      <c r="A20" s="4">
        <v>45884.0</v>
      </c>
      <c r="B20" s="5" t="s">
        <v>49</v>
      </c>
      <c r="C20" s="5" t="s">
        <v>50</v>
      </c>
      <c r="D20" s="5" t="s">
        <v>21</v>
      </c>
      <c r="E20" s="6" t="s">
        <v>31</v>
      </c>
      <c r="F20" s="5">
        <v>1.002704</v>
      </c>
      <c r="G20" s="5" t="s">
        <v>22</v>
      </c>
      <c r="H20" s="5">
        <v>48.09</v>
      </c>
      <c r="I20" s="5" t="s">
        <v>42</v>
      </c>
      <c r="J20" s="7">
        <f t="shared" si="2"/>
        <v>48.22003536</v>
      </c>
      <c r="K20" s="7">
        <f>IFERROR(__xludf.DUMMYFUNCTION("GOOGLEFINANCE(C20)"),40.79)</f>
        <v>40.79</v>
      </c>
    </row>
    <row r="21" ht="22.5" customHeight="1">
      <c r="A21" s="4">
        <v>45889.0</v>
      </c>
      <c r="B21" s="5" t="s">
        <v>29</v>
      </c>
      <c r="C21" s="5" t="s">
        <v>30</v>
      </c>
      <c r="D21" s="5" t="s">
        <v>28</v>
      </c>
      <c r="E21" s="6" t="s">
        <v>31</v>
      </c>
      <c r="F21" s="5">
        <v>0.0087</v>
      </c>
      <c r="G21" s="5" t="s">
        <v>22</v>
      </c>
      <c r="H21" s="5"/>
      <c r="I21" s="5"/>
      <c r="K21" s="7">
        <f>IFERROR(__xludf.DUMMYFUNCTION("GOOGLEFINANCE(C21)"),132.59)</f>
        <v>132.59</v>
      </c>
    </row>
    <row r="22" ht="22.5" customHeight="1">
      <c r="A22" s="4">
        <v>45907.0</v>
      </c>
      <c r="B22" s="5" t="s">
        <v>11</v>
      </c>
      <c r="C22" s="5" t="s">
        <v>12</v>
      </c>
      <c r="D22" s="5" t="s">
        <v>39</v>
      </c>
      <c r="E22" s="6" t="s">
        <v>14</v>
      </c>
      <c r="F22" s="5">
        <v>-505.91457899</v>
      </c>
      <c r="G22" s="5" t="s">
        <v>15</v>
      </c>
      <c r="H22" s="5">
        <v>2.82</v>
      </c>
      <c r="I22" s="5" t="s">
        <v>51</v>
      </c>
      <c r="J22" s="7">
        <f t="shared" ref="J22:J33" si="3">H22*F22</f>
        <v>-1426.679113</v>
      </c>
    </row>
    <row r="23" ht="22.5" customHeight="1">
      <c r="A23" s="4">
        <v>45907.0</v>
      </c>
      <c r="B23" s="5" t="s">
        <v>52</v>
      </c>
      <c r="C23" s="5" t="s">
        <v>51</v>
      </c>
      <c r="D23" s="5" t="s">
        <v>21</v>
      </c>
      <c r="E23" s="6" t="s">
        <v>14</v>
      </c>
      <c r="F23" s="6">
        <v>0.33171092</v>
      </c>
      <c r="G23" s="5" t="s">
        <v>15</v>
      </c>
      <c r="H23" s="5">
        <v>4300.0</v>
      </c>
      <c r="I23" s="5" t="s">
        <v>12</v>
      </c>
      <c r="J23" s="7">
        <f t="shared" si="3"/>
        <v>1426.356956</v>
      </c>
    </row>
    <row r="24" ht="22.5" customHeight="1">
      <c r="A24" s="4">
        <v>45911.0</v>
      </c>
      <c r="B24" s="5" t="s">
        <v>49</v>
      </c>
      <c r="C24" s="5" t="s">
        <v>50</v>
      </c>
      <c r="D24" s="5" t="s">
        <v>21</v>
      </c>
      <c r="E24" s="6" t="s">
        <v>31</v>
      </c>
      <c r="F24" s="5">
        <v>3.112</v>
      </c>
      <c r="G24" s="5" t="s">
        <v>22</v>
      </c>
      <c r="H24" s="5">
        <v>31.51</v>
      </c>
      <c r="I24" s="5" t="s">
        <v>23</v>
      </c>
      <c r="J24" s="7">
        <f t="shared" si="3"/>
        <v>98.05912</v>
      </c>
      <c r="K24" s="7">
        <f>IFERROR(__xludf.DUMMYFUNCTION("GOOGLEFINANCE(C24)"),40.79)</f>
        <v>40.79</v>
      </c>
    </row>
    <row r="25" ht="22.5" customHeight="1">
      <c r="A25" s="4">
        <v>45915.0</v>
      </c>
      <c r="B25" s="5" t="s">
        <v>52</v>
      </c>
      <c r="C25" s="5" t="s">
        <v>51</v>
      </c>
      <c r="D25" s="5" t="s">
        <v>21</v>
      </c>
      <c r="E25" s="6" t="s">
        <v>14</v>
      </c>
      <c r="F25" s="6">
        <v>0.14814547</v>
      </c>
      <c r="G25" s="5" t="s">
        <v>22</v>
      </c>
      <c r="H25" s="5">
        <v>4300.0</v>
      </c>
      <c r="I25" s="5" t="s">
        <v>23</v>
      </c>
      <c r="J25" s="7">
        <f t="shared" si="3"/>
        <v>637.025521</v>
      </c>
    </row>
    <row r="26" ht="22.5" customHeight="1">
      <c r="A26" s="4">
        <v>45915.0</v>
      </c>
      <c r="B26" s="5" t="s">
        <v>17</v>
      </c>
      <c r="C26" s="5" t="s">
        <v>18</v>
      </c>
      <c r="D26" s="5" t="s">
        <v>21</v>
      </c>
      <c r="E26" s="6" t="s">
        <v>14</v>
      </c>
      <c r="F26" s="5">
        <v>0.00871626</v>
      </c>
      <c r="G26" s="5" t="s">
        <v>22</v>
      </c>
      <c r="H26" s="5">
        <v>114844.0</v>
      </c>
      <c r="I26" s="5" t="s">
        <v>23</v>
      </c>
      <c r="J26" s="7">
        <f t="shared" si="3"/>
        <v>1001.010163</v>
      </c>
    </row>
    <row r="27" ht="22.5" customHeight="1">
      <c r="A27" s="4">
        <v>45915.0</v>
      </c>
      <c r="B27" s="5" t="s">
        <v>40</v>
      </c>
      <c r="C27" s="5" t="s">
        <v>41</v>
      </c>
      <c r="D27" s="5" t="s">
        <v>21</v>
      </c>
      <c r="E27" s="6" t="s">
        <v>31</v>
      </c>
      <c r="F27" s="5">
        <v>0.028779</v>
      </c>
      <c r="G27" s="5" t="s">
        <v>22</v>
      </c>
      <c r="H27" s="5">
        <v>2345.5</v>
      </c>
      <c r="I27" s="5" t="s">
        <v>23</v>
      </c>
      <c r="J27" s="7">
        <f t="shared" si="3"/>
        <v>67.5011445</v>
      </c>
      <c r="K27" s="7">
        <f>IFERROR(__xludf.DUMMYFUNCTION("GOOGLEFINANCE(C27)"),1546.81)</f>
        <v>1546.81</v>
      </c>
    </row>
    <row r="28" ht="22.5" customHeight="1">
      <c r="A28" s="4">
        <v>45918.0</v>
      </c>
      <c r="B28" s="5" t="s">
        <v>53</v>
      </c>
      <c r="C28" s="5" t="s">
        <v>20</v>
      </c>
      <c r="D28" s="5" t="s">
        <v>21</v>
      </c>
      <c r="E28" s="6" t="s">
        <v>14</v>
      </c>
      <c r="F28" s="5">
        <v>0.176</v>
      </c>
      <c r="G28" s="5" t="s">
        <v>22</v>
      </c>
      <c r="H28" s="5">
        <v>3686.0</v>
      </c>
      <c r="I28" s="5" t="s">
        <v>23</v>
      </c>
      <c r="J28" s="7">
        <f t="shared" si="3"/>
        <v>648.736</v>
      </c>
    </row>
    <row r="29" ht="22.5" customHeight="1">
      <c r="A29" s="4">
        <v>45918.0</v>
      </c>
      <c r="B29" s="5" t="s">
        <v>25</v>
      </c>
      <c r="C29" s="5" t="s">
        <v>26</v>
      </c>
      <c r="D29" s="5" t="s">
        <v>21</v>
      </c>
      <c r="E29" s="5" t="s">
        <v>27</v>
      </c>
      <c r="F29" s="5">
        <v>0.69</v>
      </c>
      <c r="G29" s="5" t="s">
        <v>22</v>
      </c>
      <c r="H29" s="5">
        <v>666.67</v>
      </c>
      <c r="I29" s="5" t="s">
        <v>23</v>
      </c>
      <c r="J29" s="7">
        <f t="shared" si="3"/>
        <v>460.0023</v>
      </c>
      <c r="K29" s="7">
        <f>IFERROR(__xludf.DUMMYFUNCTION("GOOGLEFINANCE(C29)"),739.17)</f>
        <v>739.17</v>
      </c>
    </row>
    <row r="30" ht="22.5" customHeight="1">
      <c r="A30" s="4">
        <v>45918.0</v>
      </c>
      <c r="B30" s="5" t="s">
        <v>54</v>
      </c>
      <c r="C30" s="5" t="s">
        <v>55</v>
      </c>
      <c r="D30" s="5" t="s">
        <v>21</v>
      </c>
      <c r="E30" s="6" t="s">
        <v>31</v>
      </c>
      <c r="F30" s="5">
        <v>2.04</v>
      </c>
      <c r="G30" s="5" t="s">
        <v>22</v>
      </c>
      <c r="H30" s="5">
        <v>266.0</v>
      </c>
      <c r="I30" s="5" t="s">
        <v>23</v>
      </c>
      <c r="J30" s="7">
        <f t="shared" si="3"/>
        <v>542.64</v>
      </c>
      <c r="K30" s="7">
        <f>IFERROR(__xludf.DUMMYFUNCTION("GOOGLEFINANCE(C30)"),316.31)</f>
        <v>316.31</v>
      </c>
    </row>
    <row r="31" ht="22.5" customHeight="1">
      <c r="A31" s="4">
        <v>45918.0</v>
      </c>
      <c r="B31" s="5" t="s">
        <v>56</v>
      </c>
      <c r="C31" s="5" t="s">
        <v>56</v>
      </c>
      <c r="D31" s="5" t="s">
        <v>21</v>
      </c>
      <c r="E31" s="6" t="s">
        <v>31</v>
      </c>
      <c r="F31" s="5">
        <v>1.0012</v>
      </c>
      <c r="G31" s="5" t="s">
        <v>22</v>
      </c>
      <c r="H31" s="5">
        <v>156.25</v>
      </c>
      <c r="I31" s="5" t="s">
        <v>23</v>
      </c>
      <c r="J31" s="7">
        <f t="shared" si="3"/>
        <v>156.4375</v>
      </c>
      <c r="K31" s="7">
        <f>IFERROR(__xludf.DUMMYFUNCTION("GOOGLEFINANCE(C31)"),424.1)</f>
        <v>424.1</v>
      </c>
    </row>
    <row r="32" ht="22.5" customHeight="1">
      <c r="A32" s="4">
        <v>45918.0</v>
      </c>
      <c r="B32" s="5" t="s">
        <v>57</v>
      </c>
      <c r="C32" s="5" t="s">
        <v>57</v>
      </c>
      <c r="D32" s="5" t="s">
        <v>21</v>
      </c>
      <c r="E32" s="6" t="s">
        <v>31</v>
      </c>
      <c r="F32" s="5">
        <v>2.0356</v>
      </c>
      <c r="G32" s="5" t="s">
        <v>22</v>
      </c>
      <c r="H32" s="5">
        <v>25.5</v>
      </c>
      <c r="I32" s="5" t="s">
        <v>23</v>
      </c>
      <c r="J32" s="7">
        <f t="shared" si="3"/>
        <v>51.9078</v>
      </c>
      <c r="K32" s="7">
        <f>IFERROR(__xludf.DUMMYFUNCTION("GOOGLEFINANCE(C32)"),43.66)</f>
        <v>43.66</v>
      </c>
    </row>
    <row r="33" ht="22.5" customHeight="1">
      <c r="A33" s="4">
        <v>45918.0</v>
      </c>
      <c r="B33" s="5" t="s">
        <v>58</v>
      </c>
      <c r="C33" s="5" t="s">
        <v>59</v>
      </c>
      <c r="D33" s="5" t="s">
        <v>21</v>
      </c>
      <c r="E33" s="6" t="s">
        <v>31</v>
      </c>
      <c r="F33" s="5">
        <v>1.0035</v>
      </c>
      <c r="G33" s="5" t="s">
        <v>22</v>
      </c>
      <c r="H33" s="5">
        <v>232.0</v>
      </c>
      <c r="I33" s="5" t="s">
        <v>23</v>
      </c>
      <c r="J33" s="7">
        <f t="shared" si="3"/>
        <v>232.812</v>
      </c>
      <c r="K33" s="7">
        <f>IFERROR(__xludf.DUMMYFUNCTION("GOOGLEFINANCE(C33)"),264.14)</f>
        <v>264.14</v>
      </c>
    </row>
    <row r="34" ht="22.5" customHeight="1">
      <c r="A34" s="4">
        <v>45918.0</v>
      </c>
      <c r="B34" s="10" t="s">
        <v>60</v>
      </c>
      <c r="C34" s="5" t="s">
        <v>36</v>
      </c>
      <c r="D34" s="5" t="s">
        <v>21</v>
      </c>
      <c r="E34" s="6" t="s">
        <v>31</v>
      </c>
      <c r="F34" s="5">
        <v>4.6508</v>
      </c>
      <c r="G34" s="5" t="s">
        <v>22</v>
      </c>
      <c r="H34" s="11">
        <f t="shared" ref="H34:H36" si="4">J34/F34</f>
        <v>34.94882601</v>
      </c>
      <c r="I34" s="5" t="s">
        <v>23</v>
      </c>
      <c r="J34" s="5">
        <v>162.54</v>
      </c>
      <c r="K34" s="7">
        <f>IFERROR(__xludf.DUMMYFUNCTION("GOOGLEFINANCE(C34)"),32.01)</f>
        <v>32.01</v>
      </c>
    </row>
    <row r="35" ht="22.5" customHeight="1">
      <c r="A35" s="4">
        <v>45918.0</v>
      </c>
      <c r="B35" s="12" t="s">
        <v>33</v>
      </c>
      <c r="C35" s="5" t="s">
        <v>34</v>
      </c>
      <c r="D35" s="5" t="s">
        <v>21</v>
      </c>
      <c r="E35" s="6" t="s">
        <v>27</v>
      </c>
      <c r="F35" s="5">
        <v>2.5165</v>
      </c>
      <c r="G35" s="5" t="s">
        <v>22</v>
      </c>
      <c r="H35" s="11">
        <f t="shared" si="4"/>
        <v>64.58970793</v>
      </c>
      <c r="I35" s="5" t="s">
        <v>23</v>
      </c>
      <c r="J35" s="5">
        <v>162.54</v>
      </c>
      <c r="K35" s="7">
        <f>IFERROR(__xludf.DUMMYFUNCTION("GOOGLEFINANCE(C35)"),56.64)</f>
        <v>56.64</v>
      </c>
    </row>
    <row r="36" ht="22.5" customHeight="1">
      <c r="A36" s="4">
        <v>45918.0</v>
      </c>
      <c r="B36" s="12" t="s">
        <v>29</v>
      </c>
      <c r="C36" s="5" t="s">
        <v>30</v>
      </c>
      <c r="D36" s="5" t="s">
        <v>21</v>
      </c>
      <c r="E36" s="6" t="s">
        <v>31</v>
      </c>
      <c r="F36" s="5">
        <v>1.0016</v>
      </c>
      <c r="G36" s="5" t="s">
        <v>22</v>
      </c>
      <c r="H36" s="11">
        <f t="shared" si="4"/>
        <v>162.2803514</v>
      </c>
      <c r="I36" s="5" t="s">
        <v>23</v>
      </c>
      <c r="J36" s="5">
        <v>162.54</v>
      </c>
      <c r="K36" s="7">
        <f>IFERROR(__xludf.DUMMYFUNCTION("GOOGLEFINANCE(C36)"),132.59)</f>
        <v>132.59</v>
      </c>
    </row>
    <row r="37" ht="22.5" customHeight="1">
      <c r="A37" s="4">
        <v>45918.0</v>
      </c>
      <c r="B37" s="12" t="s">
        <v>61</v>
      </c>
      <c r="C37" s="5" t="s">
        <v>62</v>
      </c>
      <c r="D37" s="5" t="s">
        <v>21</v>
      </c>
      <c r="E37" s="6" t="s">
        <v>27</v>
      </c>
      <c r="F37" s="13">
        <v>5.9693</v>
      </c>
      <c r="G37" s="5" t="s">
        <v>22</v>
      </c>
      <c r="H37" s="8">
        <v>35.09</v>
      </c>
      <c r="I37" s="5" t="s">
        <v>23</v>
      </c>
      <c r="J37" s="11">
        <f t="shared" ref="J37:J38" si="5">H37*F37</f>
        <v>209.462737</v>
      </c>
      <c r="K37" s="7">
        <f>IFERROR(__xludf.DUMMYFUNCTION("GOOGLEFINANCE(C37)"),40.23)</f>
        <v>40.23</v>
      </c>
    </row>
    <row r="38" ht="22.5" customHeight="1">
      <c r="A38" s="4">
        <v>45922.0</v>
      </c>
      <c r="B38" s="5" t="s">
        <v>63</v>
      </c>
      <c r="C38" s="5" t="s">
        <v>64</v>
      </c>
      <c r="D38" s="5" t="s">
        <v>21</v>
      </c>
      <c r="E38" s="6" t="s">
        <v>31</v>
      </c>
      <c r="F38" s="5">
        <v>1.012488</v>
      </c>
      <c r="G38" s="5" t="s">
        <v>22</v>
      </c>
      <c r="H38" s="5">
        <v>526.32</v>
      </c>
      <c r="I38" s="5" t="s">
        <v>23</v>
      </c>
      <c r="J38" s="11">
        <f t="shared" si="5"/>
        <v>532.8926842</v>
      </c>
      <c r="K38" s="7">
        <f>IFERROR(__xludf.DUMMYFUNCTION("GOOGLEFINANCE(C38)"),421.92)</f>
        <v>421.92</v>
      </c>
    </row>
    <row r="39" ht="22.5" customHeight="1">
      <c r="A39" s="4">
        <v>45922.0</v>
      </c>
      <c r="B39" s="5" t="s">
        <v>65</v>
      </c>
      <c r="C39" s="5" t="s">
        <v>66</v>
      </c>
      <c r="D39" s="5" t="s">
        <v>21</v>
      </c>
      <c r="E39" s="6" t="s">
        <v>27</v>
      </c>
      <c r="F39" s="13">
        <v>4.5345</v>
      </c>
      <c r="G39" s="5" t="s">
        <v>22</v>
      </c>
      <c r="H39" s="5">
        <v>217.39</v>
      </c>
      <c r="I39" s="5" t="s">
        <v>16</v>
      </c>
      <c r="J39" s="8">
        <v>980.82</v>
      </c>
      <c r="K39" s="7">
        <f>IFERROR(__xludf.DUMMYFUNCTION("GOOGLEFINANCE(C39)"),229.39)</f>
        <v>229.39</v>
      </c>
    </row>
    <row r="40" ht="22.5" customHeight="1">
      <c r="A40" s="4">
        <v>45926.0</v>
      </c>
      <c r="B40" s="5" t="s">
        <v>67</v>
      </c>
      <c r="C40" s="5" t="s">
        <v>67</v>
      </c>
      <c r="D40" s="5" t="s">
        <v>21</v>
      </c>
      <c r="E40" s="6" t="s">
        <v>31</v>
      </c>
      <c r="F40" s="5">
        <v>2.0877</v>
      </c>
      <c r="G40" s="5" t="s">
        <v>22</v>
      </c>
      <c r="H40" s="5">
        <v>287.4</v>
      </c>
      <c r="I40" s="5" t="s">
        <v>23</v>
      </c>
      <c r="J40" s="11">
        <f>H40*F40</f>
        <v>600.00498</v>
      </c>
      <c r="K40" s="7">
        <f>IFERROR(__xludf.DUMMYFUNCTION("GOOGLEFINANCE(C40)"),219.3)</f>
        <v>219.3</v>
      </c>
    </row>
    <row r="41" ht="22.5" customHeight="1">
      <c r="A41" s="4">
        <v>45936.0</v>
      </c>
      <c r="B41" s="5" t="s">
        <v>37</v>
      </c>
      <c r="C41" s="5" t="s">
        <v>38</v>
      </c>
      <c r="D41" s="5" t="s">
        <v>21</v>
      </c>
      <c r="E41" s="6" t="s">
        <v>31</v>
      </c>
      <c r="F41" s="5">
        <v>1.466765</v>
      </c>
      <c r="G41" s="5" t="s">
        <v>22</v>
      </c>
      <c r="H41" s="11">
        <f t="shared" ref="H41:H43" si="6">J41/F41</f>
        <v>145.6947773</v>
      </c>
      <c r="I41" s="5" t="s">
        <v>42</v>
      </c>
      <c r="J41" s="5">
        <v>213.7</v>
      </c>
      <c r="K41" s="7">
        <f>IFERROR(__xludf.DUMMYFUNCTION("GOOGLEFINANCE(C41)"),135.33)</f>
        <v>135.33</v>
      </c>
    </row>
    <row r="42" ht="22.5" customHeight="1">
      <c r="A42" s="4">
        <v>45936.0</v>
      </c>
      <c r="B42" s="12" t="s">
        <v>29</v>
      </c>
      <c r="C42" s="5" t="s">
        <v>30</v>
      </c>
      <c r="D42" s="5" t="s">
        <v>21</v>
      </c>
      <c r="E42" s="6" t="s">
        <v>31</v>
      </c>
      <c r="F42" s="5">
        <v>1.006</v>
      </c>
      <c r="G42" s="5" t="s">
        <v>22</v>
      </c>
      <c r="H42" s="11">
        <f t="shared" si="6"/>
        <v>188.5984095</v>
      </c>
      <c r="I42" s="5" t="s">
        <v>42</v>
      </c>
      <c r="J42" s="5">
        <v>189.73</v>
      </c>
      <c r="K42" s="7">
        <f>IFERROR(__xludf.DUMMYFUNCTION("GOOGLEFINANCE(C42)"),132.59)</f>
        <v>132.59</v>
      </c>
    </row>
    <row r="43" ht="22.5" customHeight="1">
      <c r="A43" s="4">
        <v>45938.0</v>
      </c>
      <c r="B43" s="5" t="s">
        <v>68</v>
      </c>
      <c r="C43" s="5" t="s">
        <v>69</v>
      </c>
      <c r="D43" s="5" t="s">
        <v>21</v>
      </c>
      <c r="E43" s="5" t="s">
        <v>27</v>
      </c>
      <c r="F43" s="6">
        <v>5.30223489</v>
      </c>
      <c r="G43" s="5" t="s">
        <v>22</v>
      </c>
      <c r="H43" s="11">
        <f t="shared" si="6"/>
        <v>386.2503345</v>
      </c>
      <c r="I43" s="5" t="s">
        <v>16</v>
      </c>
      <c r="J43" s="5">
        <v>2047.99</v>
      </c>
      <c r="K43" s="7">
        <f>IFERROR(__xludf.DUMMYFUNCTION("GOOGLEFINANCE(C43)"),417.29)</f>
        <v>417.29</v>
      </c>
    </row>
    <row r="44" ht="22.5" customHeight="1">
      <c r="A44" s="4">
        <v>45947.0</v>
      </c>
      <c r="B44" s="5" t="s">
        <v>40</v>
      </c>
      <c r="C44" s="5" t="s">
        <v>41</v>
      </c>
      <c r="D44" s="5" t="s">
        <v>39</v>
      </c>
      <c r="E44" s="5" t="s">
        <v>31</v>
      </c>
      <c r="F44" s="5">
        <v>-1.030179</v>
      </c>
      <c r="G44" s="5" t="s">
        <v>22</v>
      </c>
      <c r="H44" s="6">
        <v>2053.0</v>
      </c>
      <c r="I44" s="5" t="s">
        <v>42</v>
      </c>
      <c r="J44" s="5">
        <v>-2115.6</v>
      </c>
      <c r="K44" s="7">
        <f>IFERROR(__xludf.DUMMYFUNCTION("GOOGLEFINANCE(C44)"),1546.81)</f>
        <v>1546.81</v>
      </c>
    </row>
    <row r="45" ht="22.5" customHeight="1">
      <c r="A45" s="4">
        <v>45953.0</v>
      </c>
      <c r="B45" s="5" t="s">
        <v>25</v>
      </c>
      <c r="C45" s="5" t="s">
        <v>26</v>
      </c>
      <c r="D45" s="5" t="s">
        <v>21</v>
      </c>
      <c r="E45" s="5" t="s">
        <v>27</v>
      </c>
      <c r="F45" s="5">
        <v>1.218426</v>
      </c>
      <c r="G45" s="5" t="s">
        <v>22</v>
      </c>
      <c r="H45" s="6">
        <v>670.81</v>
      </c>
      <c r="I45" s="5" t="s">
        <v>23</v>
      </c>
      <c r="J45" s="11">
        <f t="shared" ref="J45:J47" si="7">H45*F45</f>
        <v>817.3323451</v>
      </c>
      <c r="K45" s="7">
        <f>IFERROR(__xludf.DUMMYFUNCTION("GOOGLEFINANCE(C45)"),739.17)</f>
        <v>739.17</v>
      </c>
    </row>
    <row r="46" ht="22.5" customHeight="1">
      <c r="A46" s="4">
        <v>45953.0</v>
      </c>
      <c r="B46" s="5" t="s">
        <v>70</v>
      </c>
      <c r="C46" s="5" t="s">
        <v>71</v>
      </c>
      <c r="D46" s="5" t="s">
        <v>21</v>
      </c>
      <c r="E46" s="5" t="s">
        <v>27</v>
      </c>
      <c r="F46" s="6">
        <v>10.03</v>
      </c>
      <c r="G46" s="5" t="s">
        <v>22</v>
      </c>
      <c r="H46" s="6">
        <v>44.6</v>
      </c>
      <c r="I46" s="5" t="s">
        <v>23</v>
      </c>
      <c r="J46" s="11">
        <f t="shared" si="7"/>
        <v>447.338</v>
      </c>
      <c r="K46" s="7">
        <f>IFERROR(__xludf.DUMMYFUNCTION("GOOGLEFINANCE(C46)"),69.04)</f>
        <v>69.04</v>
      </c>
    </row>
    <row r="47" ht="22.5" customHeight="1">
      <c r="A47" s="4">
        <v>45954.0</v>
      </c>
      <c r="B47" s="5" t="s">
        <v>72</v>
      </c>
      <c r="C47" s="5" t="s">
        <v>73</v>
      </c>
      <c r="D47" s="5" t="s">
        <v>21</v>
      </c>
      <c r="E47" s="5" t="s">
        <v>31</v>
      </c>
      <c r="F47" s="6">
        <v>26.008848</v>
      </c>
      <c r="G47" s="5" t="s">
        <v>22</v>
      </c>
      <c r="H47" s="5">
        <v>30.94</v>
      </c>
      <c r="I47" s="5" t="s">
        <v>23</v>
      </c>
      <c r="J47" s="11">
        <f t="shared" si="7"/>
        <v>804.7137571</v>
      </c>
      <c r="K47" s="7">
        <f>IFERROR(__xludf.DUMMYFUNCTION("GOOGLEFINANCE(C47)"),20.35)</f>
        <v>20.35</v>
      </c>
    </row>
    <row r="48" ht="22.5" customHeight="1">
      <c r="A48" s="4">
        <v>45961.0</v>
      </c>
      <c r="B48" s="5" t="s">
        <v>17</v>
      </c>
      <c r="C48" s="5" t="s">
        <v>18</v>
      </c>
      <c r="D48" s="5" t="s">
        <v>74</v>
      </c>
      <c r="E48" s="5" t="s">
        <v>14</v>
      </c>
      <c r="F48" s="5">
        <v>2.7E-5</v>
      </c>
      <c r="G48" s="5" t="s">
        <v>22</v>
      </c>
    </row>
    <row r="49" ht="22.5" customHeight="1">
      <c r="A49" s="4">
        <v>45961.0</v>
      </c>
      <c r="B49" s="5" t="s">
        <v>25</v>
      </c>
      <c r="C49" s="5" t="s">
        <v>26</v>
      </c>
      <c r="D49" s="5" t="s">
        <v>28</v>
      </c>
      <c r="E49" s="5" t="s">
        <v>27</v>
      </c>
      <c r="F49" s="5">
        <v>0.0037</v>
      </c>
      <c r="G49" s="5" t="s">
        <v>22</v>
      </c>
      <c r="K49" s="7">
        <f>IFERROR(__xludf.DUMMYFUNCTION("GOOGLEFINANCE(C49)"),739.17)</f>
        <v>739.17</v>
      </c>
    </row>
    <row r="50" ht="22.5" customHeight="1">
      <c r="A50" s="4">
        <v>45961.0</v>
      </c>
      <c r="B50" s="5" t="s">
        <v>52</v>
      </c>
      <c r="C50" s="5" t="s">
        <v>51</v>
      </c>
      <c r="D50" s="5" t="s">
        <v>74</v>
      </c>
      <c r="E50" s="5" t="s">
        <v>14</v>
      </c>
      <c r="F50" s="5">
        <v>4.52E-4</v>
      </c>
      <c r="G50" s="5" t="s">
        <v>22</v>
      </c>
    </row>
    <row r="51" ht="22.5" customHeight="1">
      <c r="A51" s="4">
        <v>45961.0</v>
      </c>
      <c r="B51" s="5" t="s">
        <v>65</v>
      </c>
      <c r="C51" s="5" t="s">
        <v>66</v>
      </c>
      <c r="D51" s="5" t="s">
        <v>28</v>
      </c>
      <c r="E51" s="5" t="s">
        <v>27</v>
      </c>
      <c r="F51" s="13">
        <v>0.0127</v>
      </c>
      <c r="G51" s="5" t="s">
        <v>22</v>
      </c>
      <c r="K51" s="7">
        <f>IFERROR(__xludf.DUMMYFUNCTION("GOOGLEFINANCE(C51)"),229.39)</f>
        <v>229.39</v>
      </c>
    </row>
    <row r="52" ht="22.5" customHeight="1">
      <c r="A52" s="4">
        <v>45965.0</v>
      </c>
      <c r="B52" s="5" t="s">
        <v>17</v>
      </c>
      <c r="C52" s="5" t="s">
        <v>18</v>
      </c>
      <c r="D52" s="5" t="s">
        <v>39</v>
      </c>
      <c r="E52" s="5" t="s">
        <v>14</v>
      </c>
      <c r="F52" s="14">
        <v>-0.04568917</v>
      </c>
      <c r="G52" s="5" t="s">
        <v>22</v>
      </c>
      <c r="H52" s="15">
        <v>102759.58</v>
      </c>
      <c r="I52" s="5" t="s">
        <v>42</v>
      </c>
      <c r="J52" s="11">
        <f t="shared" ref="J52:J67" si="8">H52*F52</f>
        <v>-4694.99992</v>
      </c>
    </row>
    <row r="53" ht="22.5" customHeight="1">
      <c r="A53" s="4">
        <v>45965.0</v>
      </c>
      <c r="B53" s="5" t="s">
        <v>25</v>
      </c>
      <c r="C53" s="5" t="s">
        <v>26</v>
      </c>
      <c r="D53" s="5" t="s">
        <v>39</v>
      </c>
      <c r="E53" s="5" t="s">
        <v>27</v>
      </c>
      <c r="F53" s="14">
        <v>-2.9826</v>
      </c>
      <c r="G53" s="5" t="s">
        <v>22</v>
      </c>
      <c r="H53" s="5">
        <v>680.77</v>
      </c>
      <c r="I53" s="5" t="s">
        <v>42</v>
      </c>
      <c r="J53" s="11">
        <f t="shared" si="8"/>
        <v>-2030.464602</v>
      </c>
      <c r="K53" s="7">
        <f>IFERROR(__xludf.DUMMYFUNCTION("GOOGLEFINANCE(C53)"),739.17)</f>
        <v>739.17</v>
      </c>
    </row>
    <row r="54" ht="22.5" customHeight="1">
      <c r="A54" s="4">
        <v>45965.0</v>
      </c>
      <c r="B54" s="5" t="s">
        <v>72</v>
      </c>
      <c r="C54" s="5" t="s">
        <v>73</v>
      </c>
      <c r="D54" s="5" t="s">
        <v>39</v>
      </c>
      <c r="E54" s="5" t="s">
        <v>31</v>
      </c>
      <c r="F54" s="5">
        <v>-15.5999425922113</v>
      </c>
      <c r="G54" s="5" t="s">
        <v>22</v>
      </c>
      <c r="H54" s="5">
        <v>32.0514</v>
      </c>
      <c r="I54" s="5" t="s">
        <v>42</v>
      </c>
      <c r="J54" s="11">
        <f t="shared" si="8"/>
        <v>-500</v>
      </c>
      <c r="K54" s="7">
        <f>IFERROR(__xludf.DUMMYFUNCTION("GOOGLEFINANCE(C54)"),20.35)</f>
        <v>20.35</v>
      </c>
    </row>
    <row r="55" ht="22.5" customHeight="1">
      <c r="A55" s="4">
        <v>45965.0</v>
      </c>
      <c r="B55" s="5" t="s">
        <v>47</v>
      </c>
      <c r="C55" s="7" t="s">
        <v>48</v>
      </c>
      <c r="D55" s="5" t="s">
        <v>39</v>
      </c>
      <c r="E55" s="5" t="s">
        <v>31</v>
      </c>
      <c r="F55" s="5">
        <v>-1.0</v>
      </c>
      <c r="G55" s="5" t="s">
        <v>22</v>
      </c>
      <c r="H55" s="7">
        <v>270.0</v>
      </c>
      <c r="I55" s="5" t="s">
        <v>42</v>
      </c>
      <c r="J55" s="11">
        <f t="shared" si="8"/>
        <v>-270</v>
      </c>
      <c r="K55" s="7">
        <f>IFERROR(__xludf.DUMMYFUNCTION("GOOGLEFINANCE(C55)"),300.23)</f>
        <v>300.23</v>
      </c>
    </row>
    <row r="56" ht="22.5" customHeight="1">
      <c r="A56" s="4">
        <v>45965.0</v>
      </c>
      <c r="B56" s="5" t="s">
        <v>61</v>
      </c>
      <c r="C56" s="7" t="s">
        <v>62</v>
      </c>
      <c r="D56" s="5" t="s">
        <v>39</v>
      </c>
      <c r="E56" s="5" t="s">
        <v>27</v>
      </c>
      <c r="F56" s="5">
        <v>-3.9742</v>
      </c>
      <c r="G56" s="5" t="s">
        <v>22</v>
      </c>
      <c r="H56" s="7">
        <v>37.57</v>
      </c>
      <c r="I56" s="5" t="s">
        <v>42</v>
      </c>
      <c r="J56" s="11">
        <f t="shared" si="8"/>
        <v>-149.310694</v>
      </c>
      <c r="K56" s="7">
        <f>IFERROR(__xludf.DUMMYFUNCTION("GOOGLEFINANCE(C56)"),40.23)</f>
        <v>40.23</v>
      </c>
    </row>
    <row r="57" ht="22.5" customHeight="1">
      <c r="A57" s="4">
        <v>45965.0</v>
      </c>
      <c r="B57" s="5" t="s">
        <v>65</v>
      </c>
      <c r="C57" s="7" t="s">
        <v>66</v>
      </c>
      <c r="D57" s="5" t="s">
        <v>39</v>
      </c>
      <c r="E57" s="5" t="s">
        <v>27</v>
      </c>
      <c r="F57" s="13">
        <v>-3.0467</v>
      </c>
      <c r="G57" s="5" t="s">
        <v>22</v>
      </c>
      <c r="H57" s="7">
        <v>215.65</v>
      </c>
      <c r="I57" s="5" t="s">
        <v>42</v>
      </c>
      <c r="J57" s="11">
        <f t="shared" si="8"/>
        <v>-657.020855</v>
      </c>
      <c r="K57" s="7">
        <f>IFERROR(__xludf.DUMMYFUNCTION("GOOGLEFINANCE(C57)"),229.39)</f>
        <v>229.39</v>
      </c>
    </row>
    <row r="58" ht="22.5" customHeight="1">
      <c r="A58" s="4">
        <v>45965.0</v>
      </c>
      <c r="B58" s="5" t="s">
        <v>56</v>
      </c>
      <c r="C58" s="7" t="s">
        <v>56</v>
      </c>
      <c r="D58" s="5" t="s">
        <v>39</v>
      </c>
      <c r="E58" s="5" t="s">
        <v>31</v>
      </c>
      <c r="F58" s="13">
        <v>-0.6101</v>
      </c>
      <c r="G58" s="5" t="s">
        <v>22</v>
      </c>
      <c r="H58" s="7">
        <v>254.53</v>
      </c>
      <c r="I58" s="5" t="s">
        <v>42</v>
      </c>
      <c r="J58" s="11">
        <f t="shared" si="8"/>
        <v>-155.288753</v>
      </c>
      <c r="K58" s="7">
        <f>IFERROR(__xludf.DUMMYFUNCTION("GOOGLEFINANCE(C58)"),424.1)</f>
        <v>424.1</v>
      </c>
    </row>
    <row r="59" ht="22.5" customHeight="1">
      <c r="A59" s="4">
        <v>45965.0</v>
      </c>
      <c r="B59" s="5" t="s">
        <v>45</v>
      </c>
      <c r="C59" s="7" t="s">
        <v>46</v>
      </c>
      <c r="D59" s="5" t="s">
        <v>39</v>
      </c>
      <c r="E59" s="5" t="s">
        <v>31</v>
      </c>
      <c r="F59" s="5">
        <v>-0.9087</v>
      </c>
      <c r="G59" s="5" t="s">
        <v>22</v>
      </c>
      <c r="H59" s="7">
        <v>191.7112</v>
      </c>
      <c r="I59" s="5" t="s">
        <v>42</v>
      </c>
      <c r="J59" s="11">
        <f t="shared" si="8"/>
        <v>-174.2079674</v>
      </c>
      <c r="K59" s="7">
        <f>IFERROR(__xludf.DUMMYFUNCTION("GOOGLEFINANCE(C59)"),133.99)</f>
        <v>133.99</v>
      </c>
    </row>
    <row r="60" ht="22.5" customHeight="1">
      <c r="A60" s="4">
        <v>45965.0</v>
      </c>
      <c r="B60" s="5" t="s">
        <v>63</v>
      </c>
      <c r="C60" s="7" t="s">
        <v>64</v>
      </c>
      <c r="D60" s="5" t="s">
        <v>39</v>
      </c>
      <c r="E60" s="5" t="s">
        <v>31</v>
      </c>
      <c r="F60" s="5">
        <v>-0.9713</v>
      </c>
      <c r="G60" s="5" t="s">
        <v>22</v>
      </c>
      <c r="H60" s="7">
        <v>518.85</v>
      </c>
      <c r="I60" s="5" t="s">
        <v>42</v>
      </c>
      <c r="J60" s="11">
        <f t="shared" si="8"/>
        <v>-503.959005</v>
      </c>
      <c r="K60" s="7">
        <f>IFERROR(__xludf.DUMMYFUNCTION("GOOGLEFINANCE(C60)"),421.92)</f>
        <v>421.92</v>
      </c>
    </row>
    <row r="61" ht="22.5" customHeight="1">
      <c r="A61" s="4">
        <v>45965.0</v>
      </c>
      <c r="B61" s="5" t="s">
        <v>49</v>
      </c>
      <c r="C61" s="7" t="s">
        <v>50</v>
      </c>
      <c r="D61" s="5" t="s">
        <v>39</v>
      </c>
      <c r="E61" s="5" t="s">
        <v>31</v>
      </c>
      <c r="F61" s="5">
        <v>-2.4321</v>
      </c>
      <c r="G61" s="5" t="s">
        <v>22</v>
      </c>
      <c r="H61" s="7">
        <v>59.49</v>
      </c>
      <c r="I61" s="5" t="s">
        <v>42</v>
      </c>
      <c r="J61" s="11">
        <f t="shared" si="8"/>
        <v>-144.685629</v>
      </c>
      <c r="K61" s="7">
        <f>IFERROR(__xludf.DUMMYFUNCTION("GOOGLEFINANCE(C61)"),40.79)</f>
        <v>40.79</v>
      </c>
    </row>
    <row r="62" ht="22.5" customHeight="1">
      <c r="A62" s="4">
        <v>45979.0</v>
      </c>
      <c r="B62" s="5" t="s">
        <v>52</v>
      </c>
      <c r="C62" s="5" t="s">
        <v>51</v>
      </c>
      <c r="D62" s="5" t="s">
        <v>39</v>
      </c>
      <c r="E62" s="5" t="s">
        <v>14</v>
      </c>
      <c r="F62" s="5">
        <v>-0.165947</v>
      </c>
      <c r="G62" s="5" t="s">
        <v>22</v>
      </c>
      <c r="H62" s="5">
        <v>3013.01</v>
      </c>
      <c r="I62" s="5" t="s">
        <v>42</v>
      </c>
      <c r="J62" s="11">
        <f t="shared" si="8"/>
        <v>-499.9999705</v>
      </c>
    </row>
    <row r="63" ht="22.5" customHeight="1">
      <c r="A63" s="4">
        <v>45979.0</v>
      </c>
      <c r="B63" s="5" t="s">
        <v>47</v>
      </c>
      <c r="C63" s="6" t="s">
        <v>48</v>
      </c>
      <c r="D63" s="5" t="s">
        <v>39</v>
      </c>
      <c r="E63" s="5" t="s">
        <v>31</v>
      </c>
      <c r="F63" s="5">
        <v>-1.008941</v>
      </c>
      <c r="G63" s="5" t="s">
        <v>22</v>
      </c>
      <c r="H63" s="6">
        <v>268.3256</v>
      </c>
      <c r="I63" s="5" t="s">
        <v>42</v>
      </c>
      <c r="J63" s="11">
        <f t="shared" si="8"/>
        <v>-270.7246992</v>
      </c>
      <c r="K63" s="7">
        <f>IFERROR(__xludf.DUMMYFUNCTION("GOOGLEFINANCE(C63)"),300.23)</f>
        <v>300.23</v>
      </c>
    </row>
    <row r="64" ht="22.5" customHeight="1">
      <c r="A64" s="4">
        <v>45979.0</v>
      </c>
      <c r="B64" s="5" t="s">
        <v>54</v>
      </c>
      <c r="C64" s="5" t="s">
        <v>55</v>
      </c>
      <c r="D64" s="5" t="s">
        <v>39</v>
      </c>
      <c r="E64" s="5" t="s">
        <v>31</v>
      </c>
      <c r="F64" s="5">
        <v>-2.042742</v>
      </c>
      <c r="G64" s="5" t="s">
        <v>22</v>
      </c>
      <c r="H64" s="6">
        <v>245.09</v>
      </c>
      <c r="I64" s="5" t="s">
        <v>42</v>
      </c>
      <c r="J64" s="11">
        <f t="shared" si="8"/>
        <v>-500.6556368</v>
      </c>
      <c r="K64" s="7">
        <f>IFERROR(__xludf.DUMMYFUNCTION("GOOGLEFINANCE(C64)"),316.31)</f>
        <v>316.31</v>
      </c>
    </row>
    <row r="65" ht="22.5" customHeight="1">
      <c r="A65" s="4">
        <v>45979.0</v>
      </c>
      <c r="B65" s="5" t="s">
        <v>58</v>
      </c>
      <c r="C65" s="5" t="s">
        <v>59</v>
      </c>
      <c r="D65" s="5" t="s">
        <v>39</v>
      </c>
      <c r="E65" s="5" t="s">
        <v>31</v>
      </c>
      <c r="F65" s="5">
        <v>-1.001773</v>
      </c>
      <c r="G65" s="5" t="s">
        <v>22</v>
      </c>
      <c r="H65" s="5">
        <v>228.53</v>
      </c>
      <c r="I65" s="5" t="s">
        <v>42</v>
      </c>
      <c r="J65" s="11">
        <f t="shared" si="8"/>
        <v>-228.9351837</v>
      </c>
      <c r="K65" s="7">
        <f>IFERROR(__xludf.DUMMYFUNCTION("GOOGLEFINANCE(C65)"),264.14)</f>
        <v>264.14</v>
      </c>
    </row>
    <row r="66" ht="22.5" customHeight="1">
      <c r="A66" s="4">
        <v>45979.0</v>
      </c>
      <c r="B66" s="5" t="s">
        <v>65</v>
      </c>
      <c r="C66" s="5" t="s">
        <v>66</v>
      </c>
      <c r="D66" s="5" t="s">
        <v>39</v>
      </c>
      <c r="E66" s="5" t="s">
        <v>27</v>
      </c>
      <c r="F66" s="6">
        <v>-1.5004</v>
      </c>
      <c r="G66" s="5" t="s">
        <v>22</v>
      </c>
      <c r="H66" s="6">
        <v>214.23</v>
      </c>
      <c r="I66" s="5" t="s">
        <v>42</v>
      </c>
      <c r="J66" s="11">
        <f t="shared" si="8"/>
        <v>-321.430692</v>
      </c>
      <c r="K66" s="7">
        <f>IFERROR(__xludf.DUMMYFUNCTION("GOOGLEFINANCE(C66)"),229.39)</f>
        <v>229.39</v>
      </c>
    </row>
    <row r="67" ht="22.5" customHeight="1">
      <c r="A67" s="4">
        <v>45979.0</v>
      </c>
      <c r="B67" s="5" t="s">
        <v>67</v>
      </c>
      <c r="C67" s="5" t="s">
        <v>67</v>
      </c>
      <c r="D67" s="5" t="s">
        <v>39</v>
      </c>
      <c r="E67" s="5" t="s">
        <v>31</v>
      </c>
      <c r="F67" s="13">
        <v>-1.0909</v>
      </c>
      <c r="G67" s="5" t="s">
        <v>22</v>
      </c>
      <c r="H67" s="6">
        <v>293.66</v>
      </c>
      <c r="I67" s="5" t="s">
        <v>42</v>
      </c>
      <c r="J67" s="11">
        <f t="shared" si="8"/>
        <v>-320.353694</v>
      </c>
      <c r="K67" s="7">
        <f>IFERROR(__xludf.DUMMYFUNCTION("GOOGLEFINANCE(C67)"),219.3)</f>
        <v>219.3</v>
      </c>
    </row>
    <row r="68" ht="22.5" customHeight="1">
      <c r="A68" s="4">
        <v>45979.0</v>
      </c>
      <c r="B68" s="5" t="s">
        <v>33</v>
      </c>
      <c r="C68" s="5" t="s">
        <v>34</v>
      </c>
      <c r="D68" s="5" t="s">
        <v>39</v>
      </c>
      <c r="E68" s="5" t="s">
        <v>27</v>
      </c>
      <c r="F68" s="5">
        <v>-4.8189</v>
      </c>
      <c r="G68" s="5" t="s">
        <v>22</v>
      </c>
      <c r="H68" s="6">
        <v>62.16</v>
      </c>
      <c r="I68" s="5" t="s">
        <v>42</v>
      </c>
      <c r="J68" s="5">
        <v>-304.48</v>
      </c>
      <c r="K68" s="7">
        <f>IFERROR(__xludf.DUMMYFUNCTION("GOOGLEFINANCE(C68)"),56.64)</f>
        <v>56.64</v>
      </c>
    </row>
    <row r="69" ht="22.5" customHeight="1">
      <c r="A69" s="4">
        <v>45979.0</v>
      </c>
      <c r="B69" s="5" t="s">
        <v>29</v>
      </c>
      <c r="C69" s="5" t="s">
        <v>30</v>
      </c>
      <c r="D69" s="5" t="s">
        <v>39</v>
      </c>
      <c r="E69" s="5" t="s">
        <v>31</v>
      </c>
      <c r="F69" s="5">
        <v>-3.0431</v>
      </c>
      <c r="G69" s="5" t="s">
        <v>22</v>
      </c>
      <c r="H69" s="5">
        <v>159.2211</v>
      </c>
      <c r="I69" s="5" t="s">
        <v>42</v>
      </c>
      <c r="J69" s="5">
        <v>-484.98</v>
      </c>
      <c r="K69" s="7">
        <f>IFERROR(__xludf.DUMMYFUNCTION("GOOGLEFINANCE(C69)"),132.59)</f>
        <v>132.59</v>
      </c>
    </row>
    <row r="70" ht="22.5" customHeight="1">
      <c r="A70" s="4">
        <v>45979.0</v>
      </c>
      <c r="B70" s="5" t="s">
        <v>25</v>
      </c>
      <c r="C70" s="5" t="s">
        <v>26</v>
      </c>
      <c r="D70" s="5" t="s">
        <v>39</v>
      </c>
      <c r="E70" s="5" t="s">
        <v>27</v>
      </c>
      <c r="F70" s="5">
        <v>-0.943104</v>
      </c>
      <c r="G70" s="5" t="s">
        <v>22</v>
      </c>
      <c r="H70" s="6">
        <v>662.38</v>
      </c>
      <c r="I70" s="5" t="s">
        <v>42</v>
      </c>
      <c r="J70" s="11">
        <f>H70*F70</f>
        <v>-624.6932275</v>
      </c>
      <c r="K70" s="7">
        <f>IFERROR(__xludf.DUMMYFUNCTION("GOOGLEFINANCE(C70)"),739.17)</f>
        <v>739.17</v>
      </c>
    </row>
    <row r="71" ht="22.5" customHeight="1">
      <c r="A71" s="4">
        <v>45991.0</v>
      </c>
      <c r="B71" s="5" t="s">
        <v>52</v>
      </c>
      <c r="C71" s="5" t="s">
        <v>51</v>
      </c>
      <c r="D71" s="5" t="s">
        <v>74</v>
      </c>
      <c r="E71" s="5" t="s">
        <v>14</v>
      </c>
      <c r="F71" s="6">
        <v>3.3E-4</v>
      </c>
      <c r="G71" s="5" t="s">
        <v>22</v>
      </c>
    </row>
    <row r="72" ht="22.5" customHeight="1">
      <c r="A72" s="4">
        <v>46008.0</v>
      </c>
      <c r="B72" s="5" t="s">
        <v>75</v>
      </c>
      <c r="C72" s="5" t="s">
        <v>76</v>
      </c>
      <c r="D72" s="5" t="s">
        <v>21</v>
      </c>
      <c r="E72" s="5" t="s">
        <v>31</v>
      </c>
      <c r="F72" s="6">
        <v>1.033157</v>
      </c>
      <c r="G72" s="5" t="s">
        <v>22</v>
      </c>
      <c r="H72" s="5">
        <v>296.88</v>
      </c>
      <c r="I72" s="5" t="s">
        <v>24</v>
      </c>
      <c r="J72" s="6">
        <v>307.39</v>
      </c>
      <c r="K72" s="7">
        <f>IFERROR(__xludf.DUMMYFUNCTION("GOOGLEFINANCE(C72)"),396.78)</f>
        <v>396.78</v>
      </c>
    </row>
  </sheetData>
  <hyperlinks>
    <hyperlink r:id="rId1" ref="B3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6" t="s">
        <v>77</v>
      </c>
      <c r="B2" s="17"/>
      <c r="C2" s="17"/>
      <c r="D2" s="17"/>
      <c r="E2" s="17"/>
      <c r="F2" s="17"/>
      <c r="G2" s="17"/>
      <c r="H2" s="17"/>
    </row>
    <row r="3">
      <c r="A3" s="18" t="s">
        <v>78</v>
      </c>
      <c r="B3" s="18">
        <v>3700000.0</v>
      </c>
      <c r="C3" s="17"/>
      <c r="D3" s="17"/>
      <c r="E3" s="17"/>
      <c r="F3" s="17"/>
      <c r="G3" s="17"/>
      <c r="H3" s="17"/>
    </row>
    <row r="4">
      <c r="A4" s="18" t="s">
        <v>79</v>
      </c>
      <c r="B4" s="18">
        <v>6540.0</v>
      </c>
      <c r="C4" s="17"/>
      <c r="D4" s="17"/>
      <c r="E4" s="17"/>
      <c r="F4" s="17"/>
      <c r="G4" s="17"/>
      <c r="H4" s="17"/>
    </row>
    <row r="5">
      <c r="A5" s="18" t="s">
        <v>42</v>
      </c>
      <c r="B5" s="18">
        <v>1990.0</v>
      </c>
    </row>
    <row r="6">
      <c r="A6" s="18" t="s">
        <v>32</v>
      </c>
      <c r="B6" s="18">
        <v>450.0</v>
      </c>
    </row>
    <row r="8">
      <c r="A8" s="18" t="s">
        <v>80</v>
      </c>
    </row>
    <row r="9">
      <c r="A9" s="18" t="s">
        <v>18</v>
      </c>
      <c r="B9" s="18">
        <v>0.035</v>
      </c>
    </row>
    <row r="10">
      <c r="A10" s="18" t="s">
        <v>51</v>
      </c>
      <c r="B10" s="18">
        <v>0.8739</v>
      </c>
    </row>
    <row r="11">
      <c r="A11" s="18" t="s">
        <v>12</v>
      </c>
      <c r="B11" s="18">
        <v>1230.0</v>
      </c>
    </row>
    <row r="12">
      <c r="A12" s="18" t="s">
        <v>81</v>
      </c>
      <c r="B12" s="18">
        <v>2.0</v>
      </c>
    </row>
    <row r="13">
      <c r="A13" s="18" t="s">
        <v>82</v>
      </c>
      <c r="B13" s="18">
        <v>3.08</v>
      </c>
    </row>
  </sheetData>
  <drawing r:id="rId1"/>
</worksheet>
</file>